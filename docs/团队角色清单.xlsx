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05\docs\"/>
    </mc:Choice>
  </mc:AlternateContent>
  <bookViews>
    <workbookView windowWidth="25600" windowHeight="12080"/>
  </bookViews>
  <sheets>
    <sheet name="角色清单" sheetId="1" r:id="rId1"/>
    <sheet name="填写说明" sheetId="2" r:id="rId2"/>
    <sheet name="角色速览" sheetId="3" r:id="rId3"/>
  </sheets>
  <definedNames>
    <definedName name="_xlnm._FilterDatabase" localSheetId="0" hidden="1">角色清单!$A$4:$Q$13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<sst xmlns="http://schemas.openxmlformats.org/spreadsheetml/2006/main" count="153" uniqueCount="105">
  <si>
    <t>G05 设备台账与测点资产目录 —— 团队角色清单（请组员填写黄色列）</t>
  </si>
  <si>
    <t>填法：只在浅黄底色的 11 列里填；灰底列是已经定好的角色与文件边界，不要改。填完把本文件发回给组长，组长执行 scripts/apply_roster.py 即可同步到仓库。</t>
  </si>
  <si>
    <t>角色代号</t>
  </si>
  <si>
    <t>层级</t>
  </si>
  <si>
    <t>岗位名称</t>
  </si>
  <si>
    <t>主责模块（一句话）</t>
  </si>
  <si>
    <t>文件数</t>
  </si>
  <si>
    <t>分支名</t>
  </si>
  <si>
    <t>姓名</t>
  </si>
  <si>
    <t>学号</t>
  </si>
  <si>
    <t>GitHub 用户名</t>
  </si>
  <si>
    <t>第二志愿角色</t>
  </si>
  <si>
    <t>Python 熟练度 1-5</t>
  </si>
  <si>
    <t>SQL/ORM 熟练度 1-5</t>
  </si>
  <si>
    <t>前端 HTML/JS 1-5</t>
  </si>
  <si>
    <t>文档写作 1-5</t>
  </si>
  <si>
    <t>每周可投入小时</t>
  </si>
  <si>
    <t>常用系统</t>
  </si>
  <si>
    <t>备注（时间冲突 / 想学的方向）</t>
  </si>
  <si>
    <t>A-00</t>
  </si>
  <si>
    <t>A</t>
  </si>
  <si>
    <t>组长 / 架构师</t>
  </si>
  <si>
    <t>定契约、守骨架、做集成，对最终交付负责</t>
  </si>
  <si>
    <t>feat/a00-bootstrap</t>
  </si>
  <si>
    <t>陈锦妍</t>
  </si>
  <si>
    <t>1CHEN520</t>
  </si>
  <si>
    <t>B-01</t>
  </si>
  <si>
    <t>B</t>
  </si>
  <si>
    <t>内核骨干 · 数据建模与 ORM</t>
  </si>
  <si>
    <t>把业务语义落成不可违背的表结构与约束</t>
  </si>
  <si>
    <t>feat/b01-orm-core</t>
  </si>
  <si>
    <t>刘涵</t>
  </si>
  <si>
    <t>ahh688</t>
  </si>
  <si>
    <t>B-02</t>
  </si>
  <si>
    <t>内核骨干 · 血缘引擎与影响面</t>
  </si>
  <si>
    <t>回答「改这个测点，谁会受影响」，且 1 秒内答出来</t>
  </si>
  <si>
    <t>feat/b02-lineage</t>
  </si>
  <si>
    <t>卢思雨</t>
  </si>
  <si>
    <t>C-01</t>
  </si>
  <si>
    <t>C</t>
  </si>
  <si>
    <t>开发 · 批量导入器</t>
  </si>
  <si>
    <t>万行 Excel 30 秒内入库，出错整批回滚</t>
  </si>
  <si>
    <t>feat/c01-importer</t>
  </si>
  <si>
    <t>周翔</t>
  </si>
  <si>
    <t>jiuniuyimao666</t>
  </si>
  <si>
    <t>C-02</t>
  </si>
  <si>
    <t>开发 · 校验规则引擎</t>
  </si>
  <si>
    <t>脏数据进不来，规则改 YAML 就能改</t>
  </si>
  <si>
    <t>feat/c02-validator</t>
  </si>
  <si>
    <t>李梓旭</t>
  </si>
  <si>
    <t>lzx123314</t>
  </si>
  <si>
    <t>C-03</t>
  </si>
  <si>
    <t>开发 · 审计与变更追踪</t>
  </si>
  <si>
    <t>任何一次变更都能答出「谁、何时、为什么、改了什么」</t>
  </si>
  <si>
    <t>feat/c03-audit</t>
  </si>
  <si>
    <t>蒋蕊娴</t>
  </si>
  <si>
    <t>jiang3210656231</t>
  </si>
  <si>
    <t>C-04</t>
  </si>
  <si>
    <t>开发 · CRUD 接口与控制台</t>
  </si>
  <si>
    <t>让资产目录能用：接口规范、页面能点</t>
  </si>
  <si>
    <t>feat/c04-api-web</t>
  </si>
  <si>
    <t>唐国莉</t>
  </si>
  <si>
    <t>Tang-guo-li</t>
  </si>
  <si>
    <t>C-05</t>
  </si>
  <si>
    <t>开发 · 测试与性能压测</t>
  </si>
  <si>
    <t>用可重复的证据证明「能扛住」</t>
  </si>
  <si>
    <t>feat/c05-qa</t>
  </si>
  <si>
    <t>韩永健</t>
  </si>
  <si>
    <t>HC123-WW</t>
  </si>
  <si>
    <t>C-06</t>
  </si>
  <si>
    <t>开发 · 文档与运维</t>
  </si>
  <si>
    <t>让没参与开发的人也能装起来、跑起来、救回来</t>
  </si>
  <si>
    <t>feat/c06-docs-ops</t>
  </si>
  <si>
    <t>王新宇</t>
  </si>
  <si>
    <t>jasonwang555</t>
  </si>
  <si>
    <t>填写说明</t>
  </si>
  <si>
    <t>填写范围</t>
  </si>
  <si>
    <t>只填《角色清单》里浅黄底色的 11 列。灰底列（角色代号/岗位/主责模块/分支）已经定好，改了会和仓库里的分工对不上。</t>
  </si>
  <si>
    <t>A-00 组长（1 人）；B-01/B-02 内核骨干（2 人）；C-01~C-06 开发执行（6 人）。先认领想做的，再由组长平衡。</t>
  </si>
  <si>
    <t>第二志愿</t>
  </si>
  <si>
    <t>填另一个角色代号。作用是：某人进度落后时，第二志愿的人能顶上去，不至于整条线卡死。</t>
  </si>
  <si>
    <t>熟练度 1-5</t>
  </si>
  <si>
    <t>1=没写过；2=跟着教程能改；3=能独立完成模块；4=能定位性能/并发问题；5=能带人做、能评审别人的代码。按真实水平填，虚高会害了自己。</t>
  </si>
  <si>
    <t>填你的 GitHub 账号（不是邮箱）。填了之后会自动生成 CODEOWNERS，你的目录有 PR 时自动指派你评审。</t>
  </si>
  <si>
    <t>按真实情况填。排期时会按这个数字分配任务量，填 20 小时但实际只来 8 小时，坑的是同组的人。</t>
  </si>
  <si>
    <t>备注</t>
  </si>
  <si>
    <t>写清楚时间冲突（考试/实习/竞赛）、想学的方向、不能做的事（例如不想碰前端）。这些会写进排期。</t>
  </si>
  <si>
    <t>回收方式</t>
  </si>
  <si>
    <t>填完把文件发回组长。组长执行：python scripts/apply_roster.py --xlsx docs/团队角色清单.xlsx</t>
  </si>
  <si>
    <t>生效范围</t>
  </si>
  <si>
    <t>执行上面那条命令后，会自动更新：collab/roster.yaml、collab/分工文件清单.md、.github/CODEOWNERS。</t>
  </si>
  <si>
    <t>角色速览（含文件数与主要交付物）</t>
  </si>
  <si>
    <t>岗位</t>
  </si>
  <si>
    <t>分支</t>
  </si>
  <si>
    <t>Issue 数</t>
  </si>
  <si>
    <t>主要交付物</t>
  </si>
  <si>
    <t>骨架 + 契约 + 集成验收</t>
  </si>
  <si>
    <t>四表 + 约束 + 建库脚本</t>
  </si>
  <si>
    <t>血缘 BFS + 影响面接口 + 血缘图</t>
  </si>
  <si>
    <t>Excel 解析 + 批量入库</t>
  </si>
  <si>
    <t>规则引擎 + 评分门禁 + 报告导出</t>
  </si>
  <si>
    <t>审计留痕 + 防篡改 + 回溯查询</t>
  </si>
  <si>
    <t>CRUD 接口 + 控制台页面</t>
  </si>
  <si>
    <t>测试 + 故障注入 + 性能基线</t>
  </si>
  <si>
    <t>环境/运行手册 + 演示脚本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</si>
</sst>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1F4E79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rgb="FF5B6470"/>
      <name val="宋体"/>
      <charset val="134"/>
      <scheme val="minor"/>
    </font>
    <font>
      <sz val="10"/>
      <color rgb="FF26262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8F2E0"/>
        <bgColor indexed="64"/>
      </patternFill>
    </fill>
    <fill>
      <patternFill patternType="solid">
        <fgColor rgb="FFFFF7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6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pane xSplit="6" ySplit="4" topLeftCell="G5" activePane="bottomRight" state="frozen"/>
      <selection/>
      <selection pane="topRight"/>
      <selection pane="bottomLeft"/>
      <selection pane="bottomRight" activeCell="H13" sqref="H13"/>
    </sheetView>
  </sheetViews>
  <sheetFormatPr defaultColWidth="9" defaultRowHeight="14"/>
  <cols>
    <col min="1" max="1" width="11" customWidth="1"/>
    <col min="2" max="2" width="7" customWidth="1"/>
    <col min="3" max="3" width="26" customWidth="1"/>
    <col min="4" max="4" width="34" customWidth="1"/>
    <col min="5" max="5" width="8" customWidth="1"/>
    <col min="6" max="6" width="20" customWidth="1"/>
    <col min="7" max="7" width="11" customWidth="1"/>
    <col min="8" max="8" width="13" customWidth="1"/>
    <col min="9" max="9" width="17" customWidth="1"/>
    <col min="10" max="11" width="14" customWidth="1"/>
    <col min="12" max="12" width="15" customWidth="1"/>
    <col min="13" max="13" width="14" customWidth="1"/>
    <col min="14" max="14" width="12" customWidth="1"/>
    <col min="15" max="15" width="13" customWidth="1"/>
    <col min="16" max="16" width="12" customWidth="1"/>
    <col min="17" max="17" width="32" customWidth="1"/>
  </cols>
  <sheetData>
    <row r="1" ht="24" customHeight="1" spans="1:17">
      <c r="A1" s="5" t="s">
        <v>0</v>
      </c>
    </row>
    <row r="2" spans="1:17">
      <c r="A2" s="8" t="s">
        <v>1</v>
      </c>
    </row>
    <row r="4" ht="34" customHeight="1" spans="1:17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</row>
    <row r="5" ht="30" customHeight="1" spans="1:17">
      <c r="A5" s="10" t="s">
        <v>19</v>
      </c>
      <c r="B5" s="10" t="s">
        <v>20</v>
      </c>
      <c r="C5" s="10" t="s">
        <v>21</v>
      </c>
      <c r="D5" s="11" t="s">
        <v>22</v>
      </c>
      <c r="E5" s="10">
        <f>角色速览!F3</f>
        <v>51</v>
      </c>
      <c r="F5" s="10" t="s">
        <v>23</v>
      </c>
      <c r="G5" s="12" t="s">
        <v>24</v>
      </c>
      <c r="H5" s="13">
        <v>2025460978</v>
      </c>
      <c r="I5" s="12" t="s">
        <v>25</v>
      </c>
      <c r="J5" s="14"/>
      <c r="K5" s="14"/>
      <c r="L5" s="14"/>
      <c r="M5" s="14"/>
      <c r="N5" s="14"/>
      <c r="O5" s="14"/>
      <c r="P5" s="14"/>
      <c r="Q5" s="14"/>
    </row>
    <row r="6" ht="30" customHeight="1" spans="1:17">
      <c r="A6" s="10" t="s">
        <v>26</v>
      </c>
      <c r="B6" s="10" t="s">
        <v>27</v>
      </c>
      <c r="C6" s="10" t="s">
        <v>28</v>
      </c>
      <c r="D6" s="11" t="s">
        <v>29</v>
      </c>
      <c r="E6" s="10">
        <f>角色速览!F4</f>
        <v>11</v>
      </c>
      <c r="F6" s="10" t="s">
        <v>30</v>
      </c>
      <c r="G6" s="15" t="s">
        <v>31</v>
      </c>
      <c r="H6" s="16">
        <v>2025461000</v>
      </c>
      <c r="I6" s="15" t="s">
        <v>32</v>
      </c>
      <c r="J6" s="14"/>
      <c r="K6" s="14"/>
      <c r="L6" s="14"/>
      <c r="M6" s="14"/>
      <c r="N6" s="14"/>
      <c r="O6" s="14"/>
      <c r="P6" s="14"/>
      <c r="Q6" s="14"/>
    </row>
    <row r="7" ht="30" customHeight="1" spans="1:17">
      <c r="A7" s="10" t="s">
        <v>33</v>
      </c>
      <c r="B7" s="10" t="s">
        <v>27</v>
      </c>
      <c r="C7" s="10" t="s">
        <v>34</v>
      </c>
      <c r="D7" s="11" t="s">
        <v>35</v>
      </c>
      <c r="E7" s="10">
        <f>角色速览!F5</f>
        <v>6</v>
      </c>
      <c r="F7" s="10" t="s">
        <v>36</v>
      </c>
      <c r="G7" s="12" t="s">
        <v>37</v>
      </c>
      <c r="H7" s="13">
        <v>2025460782</v>
      </c>
      <c r="I7" s="12"/>
      <c r="J7" s="14"/>
      <c r="K7" s="14"/>
      <c r="L7" s="14"/>
      <c r="M7" s="14"/>
      <c r="N7" s="14"/>
      <c r="O7" s="14"/>
      <c r="P7" s="14"/>
      <c r="Q7" s="14"/>
    </row>
    <row r="8" ht="30" customHeight="1" spans="1:17">
      <c r="A8" s="10" t="s">
        <v>38</v>
      </c>
      <c r="B8" s="10" t="s">
        <v>39</v>
      </c>
      <c r="C8" s="10" t="s">
        <v>40</v>
      </c>
      <c r="D8" s="11" t="s">
        <v>41</v>
      </c>
      <c r="E8" s="10">
        <f>角色速览!F6</f>
        <v>5</v>
      </c>
      <c r="F8" s="10" t="s">
        <v>42</v>
      </c>
      <c r="G8" s="15" t="s">
        <v>43</v>
      </c>
      <c r="H8" s="16">
        <v>2025460063</v>
      </c>
      <c r="I8" s="15" t="s">
        <v>44</v>
      </c>
      <c r="J8" s="14"/>
      <c r="K8" s="14"/>
      <c r="L8" s="14"/>
      <c r="M8" s="14"/>
      <c r="N8" s="14"/>
      <c r="O8" s="14"/>
      <c r="P8" s="14"/>
      <c r="Q8" s="14"/>
    </row>
    <row r="9" ht="30" customHeight="1" spans="1:17">
      <c r="A9" s="10" t="s">
        <v>45</v>
      </c>
      <c r="B9" s="10" t="s">
        <v>39</v>
      </c>
      <c r="C9" s="10" t="s">
        <v>46</v>
      </c>
      <c r="D9" s="11" t="s">
        <v>47</v>
      </c>
      <c r="E9" s="10">
        <f>角色速览!F7</f>
        <v>4</v>
      </c>
      <c r="F9" s="10" t="s">
        <v>48</v>
      </c>
      <c r="G9" s="12" t="s">
        <v>49</v>
      </c>
      <c r="H9" s="13">
        <v>2025461082</v>
      </c>
      <c r="I9" s="12" t="s">
        <v>50</v>
      </c>
      <c r="J9" s="14"/>
      <c r="K9" s="14"/>
      <c r="L9" s="14"/>
      <c r="M9" s="14"/>
      <c r="N9" s="14"/>
      <c r="O9" s="14"/>
      <c r="P9" s="14"/>
      <c r="Q9" s="14"/>
    </row>
    <row r="10" ht="30" customHeight="1" spans="1:17">
      <c r="A10" s="10" t="s">
        <v>51</v>
      </c>
      <c r="B10" s="10" t="s">
        <v>39</v>
      </c>
      <c r="C10" s="10" t="s">
        <v>52</v>
      </c>
      <c r="D10" s="11" t="s">
        <v>53</v>
      </c>
      <c r="E10" s="10">
        <f>角色速览!F8</f>
        <v>6</v>
      </c>
      <c r="F10" s="10" t="s">
        <v>54</v>
      </c>
      <c r="G10" s="15" t="s">
        <v>55</v>
      </c>
      <c r="H10" s="16">
        <v>2025460094</v>
      </c>
      <c r="I10" s="15" t="s">
        <v>56</v>
      </c>
      <c r="J10" s="14"/>
      <c r="K10" s="14"/>
      <c r="L10" s="14"/>
      <c r="M10" s="14"/>
      <c r="N10" s="14"/>
      <c r="O10" s="14"/>
      <c r="P10" s="14"/>
      <c r="Q10" s="14"/>
    </row>
    <row r="11" ht="30" customHeight="1" spans="1:17">
      <c r="A11" s="10" t="s">
        <v>57</v>
      </c>
      <c r="B11" s="10" t="s">
        <v>39</v>
      </c>
      <c r="C11" s="10" t="s">
        <v>58</v>
      </c>
      <c r="D11" s="11" t="s">
        <v>59</v>
      </c>
      <c r="E11" s="10">
        <f>角色速览!F9</f>
        <v>9</v>
      </c>
      <c r="F11" s="10" t="s">
        <v>60</v>
      </c>
      <c r="G11" s="12" t="s">
        <v>61</v>
      </c>
      <c r="H11" s="13">
        <v>2025460581</v>
      </c>
      <c r="I11" s="12" t="s">
        <v>62</v>
      </c>
      <c r="J11" s="14"/>
      <c r="K11" s="14"/>
      <c r="L11" s="14"/>
      <c r="M11" s="14"/>
      <c r="N11" s="14"/>
      <c r="O11" s="14"/>
      <c r="P11" s="14"/>
      <c r="Q11" s="14"/>
    </row>
    <row r="12" ht="30" customHeight="1" spans="1:17">
      <c r="A12" s="10" t="s">
        <v>63</v>
      </c>
      <c r="B12" s="10" t="s">
        <v>39</v>
      </c>
      <c r="C12" s="10" t="s">
        <v>64</v>
      </c>
      <c r="D12" s="11" t="s">
        <v>65</v>
      </c>
      <c r="E12" s="10">
        <f>角色速览!F10</f>
        <v>2</v>
      </c>
      <c r="F12" s="10" t="s">
        <v>66</v>
      </c>
      <c r="G12" s="15" t="s">
        <v>67</v>
      </c>
      <c r="H12" s="16">
        <v>2025461305</v>
      </c>
      <c r="I12" s="15" t="s">
        <v>68</v>
      </c>
      <c r="J12" s="14"/>
      <c r="K12" s="14"/>
      <c r="L12" s="14"/>
      <c r="M12" s="14"/>
      <c r="N12" s="14"/>
      <c r="O12" s="14"/>
      <c r="P12" s="14"/>
      <c r="Q12" s="14"/>
    </row>
    <row r="13" ht="30" customHeight="1" spans="1:17">
      <c r="A13" s="10" t="s">
        <v>69</v>
      </c>
      <c r="B13" s="10" t="s">
        <v>39</v>
      </c>
      <c r="C13" s="10" t="s">
        <v>70</v>
      </c>
      <c r="D13" s="11" t="s">
        <v>71</v>
      </c>
      <c r="E13" s="10">
        <f>角色速览!F11</f>
        <v>4</v>
      </c>
      <c r="F13" s="10" t="s">
        <v>72</v>
      </c>
      <c r="G13" s="12" t="s">
        <v>73</v>
      </c>
      <c r="H13" s="13">
        <v>2025460987</v>
      </c>
      <c r="I13" s="12" t="s">
        <v>74</v>
      </c>
      <c r="J13" s="14"/>
      <c r="K13" s="14"/>
      <c r="L13" s="14"/>
      <c r="M13" s="14"/>
      <c r="N13" s="14"/>
      <c r="O13" s="14"/>
      <c r="P13" s="14"/>
      <c r="Q13" s="14"/>
    </row>
  </sheetData>
  <autoFilter xmlns:etc="http://www.wps.cn/officeDocument/2017/etCustomData" ref="A4:Q13" etc:filterBottomFollowUsedRange="0">
    <extLst/>
  </autoFilter>
  <mergeCells count="2">
    <mergeCell ref="A1:Q1"/>
    <mergeCell ref="A2:Q2"/>
  </mergeCells>
  <dataValidations count="4">
    <dataValidation type="list" allowBlank="1" errorTitle="无效输入" error="请从下拉列表里选一个角色代号" sqref="J5:J13">
      <formula1>"A-00,B-01,B-02,C-01,C-02,C-03,C-04,C-05,C-06"</formula1>
    </dataValidation>
    <dataValidation type="whole" operator="between" allowBlank="1" errorTitle="小时数不合法" error="请填 0-60 之间的整数（每周能投入的小时数）" sqref="O5:O13">
      <formula1>0</formula1>
      <formula2>60</formula2>
    </dataValidation>
    <dataValidation type="list" allowBlank="1" sqref="P5:P13">
      <formula1>"Windows,macOS,Linux"</formula1>
    </dataValidation>
    <dataValidation type="list" allowBlank="1" errorTitle="请填 1-5" error="1=没写过，5=能独立带人做" sqref="K5:N13">
      <formula1>"1,2,3,4,5"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2"/>
  <sheetViews>
    <sheetView workbookViewId="0">
      <selection activeCell="A1" sqref="A1"/>
    </sheetView>
  </sheetViews>
  <sheetFormatPr defaultColWidth="9" defaultRowHeight="14" outlineLevelCol="2"/>
  <cols>
    <col min="1" max="1" width="4" customWidth="1"/>
    <col min="2" max="2" width="22" customWidth="1"/>
    <col min="3" max="3" width="88" customWidth="1"/>
  </cols>
  <sheetData>
    <row r="2" ht="17.5" spans="2:3">
      <c r="B2" s="5" t="s">
        <v>75</v>
      </c>
    </row>
    <row r="4" ht="46" customHeight="1" spans="2:3">
      <c r="B4" s="6" t="s">
        <v>76</v>
      </c>
      <c r="C4" s="7" t="s">
        <v>77</v>
      </c>
    </row>
    <row r="5" ht="46" customHeight="1" spans="2:3">
      <c r="B5" s="6" t="s">
        <v>2</v>
      </c>
      <c r="C5" s="7" t="s">
        <v>78</v>
      </c>
    </row>
    <row r="6" ht="46" customHeight="1" spans="2:3">
      <c r="B6" s="6" t="s">
        <v>79</v>
      </c>
      <c r="C6" s="7" t="s">
        <v>80</v>
      </c>
    </row>
    <row r="7" ht="46" customHeight="1" spans="2:3">
      <c r="B7" s="6" t="s">
        <v>81</v>
      </c>
      <c r="C7" s="7" t="s">
        <v>82</v>
      </c>
    </row>
    <row r="8" ht="46" customHeight="1" spans="2:3">
      <c r="B8" s="6" t="s">
        <v>10</v>
      </c>
      <c r="C8" s="7" t="s">
        <v>83</v>
      </c>
    </row>
    <row r="9" ht="46" customHeight="1" spans="2:3">
      <c r="B9" s="6" t="s">
        <v>16</v>
      </c>
      <c r="C9" s="7" t="s">
        <v>84</v>
      </c>
    </row>
    <row r="10" ht="46" customHeight="1" spans="2:3">
      <c r="B10" s="6" t="s">
        <v>85</v>
      </c>
      <c r="C10" s="7" t="s">
        <v>86</v>
      </c>
    </row>
    <row r="11" ht="46" customHeight="1" spans="2:3">
      <c r="B11" s="6" t="s">
        <v>87</v>
      </c>
      <c r="C11" s="7" t="s">
        <v>88</v>
      </c>
    </row>
    <row r="12" ht="46" customHeight="1" spans="2:3">
      <c r="B12" s="6" t="s">
        <v>89</v>
      </c>
      <c r="C12" s="7" t="s">
        <v>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1"/>
    </sheetView>
  </sheetViews>
  <sheetFormatPr defaultColWidth="9" defaultRowHeight="14" outlineLevelCol="6"/>
  <cols>
    <col min="1" max="1" width="11" customWidth="1"/>
    <col min="2" max="2" width="7" customWidth="1"/>
    <col min="3" max="3" width="30" customWidth="1"/>
    <col min="4" max="4" width="20" customWidth="1"/>
    <col min="5" max="5" width="9" customWidth="1"/>
    <col min="6" max="6" width="8" customWidth="1"/>
    <col min="7" max="7" width="32" customWidth="1"/>
  </cols>
  <sheetData>
    <row r="1" ht="16.5" spans="1:7">
      <c r="A1" s="1" t="s">
        <v>91</v>
      </c>
    </row>
    <row r="2" spans="1:7">
      <c r="A2" s="2" t="s">
        <v>2</v>
      </c>
      <c r="B2" s="2" t="s">
        <v>3</v>
      </c>
      <c r="C2" s="2" t="s">
        <v>92</v>
      </c>
      <c r="D2" s="2" t="s">
        <v>93</v>
      </c>
      <c r="E2" s="2" t="s">
        <v>94</v>
      </c>
      <c r="F2" s="2" t="s">
        <v>6</v>
      </c>
      <c r="G2" s="2" t="s">
        <v>95</v>
      </c>
    </row>
    <row r="3" spans="1:7">
      <c r="A3" s="3" t="s">
        <v>19</v>
      </c>
      <c r="B3" s="3" t="s">
        <v>20</v>
      </c>
      <c r="C3" s="3" t="s">
        <v>21</v>
      </c>
      <c r="D3" s="3" t="s">
        <v>23</v>
      </c>
      <c r="E3" s="3">
        <v>5</v>
      </c>
      <c r="F3" s="3">
        <v>51</v>
      </c>
      <c r="G3" s="4" t="s">
        <v>96</v>
      </c>
    </row>
    <row r="4" spans="1:7">
      <c r="A4" s="3" t="s">
        <v>26</v>
      </c>
      <c r="B4" s="3" t="s">
        <v>27</v>
      </c>
      <c r="C4" s="3" t="s">
        <v>28</v>
      </c>
      <c r="D4" s="3" t="s">
        <v>30</v>
      </c>
      <c r="E4" s="3">
        <v>5</v>
      </c>
      <c r="F4" s="3">
        <v>11</v>
      </c>
      <c r="G4" s="4" t="s">
        <v>97</v>
      </c>
    </row>
    <row r="5" spans="1:7">
      <c r="A5" s="3" t="s">
        <v>33</v>
      </c>
      <c r="B5" s="3" t="s">
        <v>27</v>
      </c>
      <c r="C5" s="3" t="s">
        <v>34</v>
      </c>
      <c r="D5" s="3" t="s">
        <v>36</v>
      </c>
      <c r="E5" s="3">
        <v>5</v>
      </c>
      <c r="F5" s="3">
        <v>6</v>
      </c>
      <c r="G5" s="4" t="s">
        <v>98</v>
      </c>
    </row>
    <row r="6" spans="1:7">
      <c r="A6" s="3" t="s">
        <v>38</v>
      </c>
      <c r="B6" s="3" t="s">
        <v>39</v>
      </c>
      <c r="C6" s="3" t="s">
        <v>40</v>
      </c>
      <c r="D6" s="3" t="s">
        <v>42</v>
      </c>
      <c r="E6" s="3">
        <v>3</v>
      </c>
      <c r="F6" s="3">
        <v>5</v>
      </c>
      <c r="G6" s="4" t="s">
        <v>99</v>
      </c>
    </row>
    <row r="7" spans="1:7">
      <c r="A7" s="3" t="s">
        <v>45</v>
      </c>
      <c r="B7" s="3" t="s">
        <v>39</v>
      </c>
      <c r="C7" s="3" t="s">
        <v>46</v>
      </c>
      <c r="D7" s="3" t="s">
        <v>48</v>
      </c>
      <c r="E7" s="3">
        <v>4</v>
      </c>
      <c r="F7" s="3">
        <v>4</v>
      </c>
      <c r="G7" s="4" t="s">
        <v>100</v>
      </c>
    </row>
    <row r="8" spans="1:7">
      <c r="A8" s="3" t="s">
        <v>51</v>
      </c>
      <c r="B8" s="3" t="s">
        <v>39</v>
      </c>
      <c r="C8" s="3" t="s">
        <v>52</v>
      </c>
      <c r="D8" s="3" t="s">
        <v>54</v>
      </c>
      <c r="E8" s="3">
        <v>4</v>
      </c>
      <c r="F8" s="3">
        <v>6</v>
      </c>
      <c r="G8" s="4" t="s">
        <v>101</v>
      </c>
    </row>
    <row r="9" spans="1:7">
      <c r="A9" s="3" t="s">
        <v>57</v>
      </c>
      <c r="B9" s="3" t="s">
        <v>39</v>
      </c>
      <c r="C9" s="3" t="s">
        <v>58</v>
      </c>
      <c r="D9" s="3" t="s">
        <v>60</v>
      </c>
      <c r="E9" s="3">
        <v>4</v>
      </c>
      <c r="F9" s="3">
        <v>9</v>
      </c>
      <c r="G9" s="4" t="s">
        <v>102</v>
      </c>
    </row>
    <row r="10" spans="1:7">
      <c r="A10" s="3" t="s">
        <v>63</v>
      </c>
      <c r="B10" s="3" t="s">
        <v>39</v>
      </c>
      <c r="C10" s="3" t="s">
        <v>64</v>
      </c>
      <c r="D10" s="3" t="s">
        <v>66</v>
      </c>
      <c r="E10" s="3">
        <v>4</v>
      </c>
      <c r="F10" s="3">
        <v>2</v>
      </c>
      <c r="G10" s="4" t="s">
        <v>103</v>
      </c>
    </row>
    <row r="11" spans="1:7">
      <c r="A11" s="3" t="s">
        <v>69</v>
      </c>
      <c r="B11" s="3" t="s">
        <v>39</v>
      </c>
      <c r="C11" s="3" t="s">
        <v>70</v>
      </c>
      <c r="D11" s="3" t="s">
        <v>72</v>
      </c>
      <c r="E11" s="3">
        <v>5</v>
      </c>
      <c r="F11" s="3">
        <v>4</v>
      </c>
      <c r="G11" s="4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角色清单</vt:lpstr>
      <vt:lpstr>填写说明</vt:lpstr>
      <vt:lpstr>角色速览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ʕ•̀_•́ʔ</cp:lastModifiedBy>
  <dcterms:created xsi:type="dcterms:W3CDTF">2026-10-26T02:54:00Z</dcterms:created>
  <dcterms:modified xsi:type="dcterms:W3CDTF">2026-10-26T03:01:17Z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6DCEC3DD12B045DDBDA1184BE5E89095_12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